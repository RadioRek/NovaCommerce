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58" documentId="8_{2EFDF332-31E9-4C74-A6B5-E695634C1C45}" xr6:coauthVersionLast="47" xr6:coauthVersionMax="47" xr10:uidLastSave="{B97F2AB6-46DD-4B13-BEC7-B1DB94AA0F87}"/>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E14" i="1"/>
  <c r="E15" i="1"/>
  <c r="E16" i="1"/>
  <c r="D17" i="1"/>
  <c r="E17" i="1" s="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<sst xmlns="http://schemas.openxmlformats.org/spreadsheetml/2006/main" count="145" uniqueCount="80">
  <si>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</si>
  <si>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</si>
  <si>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</si>
  <si>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</si>
  <si>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</si>
  <si>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</si>
  <si>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</si>
  <si>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</si>
  <si>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</si>
  <si>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</si>
  <si>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</si>
  <si>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</si>
  <si>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</si>
  <si>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</si>
  <si>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</si>
  <si>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</si>
  <si>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</si>
  <si>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</si>
  <si>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</si>
  <si>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</si>
  <si>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</si>
  <si>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</si>
  <si>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</si>
  <si>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</si>
  <si>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</si>
  <si>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</si>
  <si>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</si>
  <si>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</si>
  <si>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</si>
  <si>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</si>
  <si>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</si>
  <si>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</si>
  <si>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</si>
  <si>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</si>
  <si>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</si>
  <si>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</si>
  <si>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</si>
  <si>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</si>
  <si>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</si>
  <si>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</si>
  <si>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</si>
  <si>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</si>
  <si>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</si>
  <si>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</si>
  <si>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</si>
  <si>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</si>
  <si>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</si>
  <si>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</si>
  <si>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</si>
  <si>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</si>
  <si>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</si>
  <si>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</si>
  <si>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</si>
  <si>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</si>
  <si>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</si>
  <si>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</si>
  <si>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</si>
  <si>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</si>
  <si>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</si>
  <si>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</si>
  <si>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</si>
  <si>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</si>
  <si>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</si>
  <si>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</si>
  <si>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</si>
  <si>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</si>
  <si>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</si>
  <si>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</si>
  <si>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</si>
  <si>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</si>
  <si>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</si>
  <si>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</si>
  <si>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</si>
  <si>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</si>
  <si>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</si>
  <si>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</si>
  <si>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Carlos Rojas</t>
  </si>
  <si>
    <t>Nicolas Ortega</t>
  </si>
  <si>
    <t>Jenifer Celedon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</si>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</sst>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5.4</v>
      </c>
      <c r="D4" s="5">
        <f>$C$32</f>
        <v>5.8</v>
      </c>
      <c r="E4" s="6">
        <f>C4*C$2+D4*D$2</f>
        <v>5.5000000000000009</v>
      </c>
      <c r="G4" s="1"/>
    </row>
    <row r="5" spans="1:11" x14ac:dyDescent="0.25">
      <c r="A5" s="4">
        <v>2</v>
      </c>
      <c r="B5" s="27" t="s">
        <v>77</v>
      </c>
      <c r="C5" s="5">
        <f>EVALUACION1!$C$21</f>
        <v>5.4</v>
      </c>
      <c r="D5" s="5">
        <f>C44</f>
        <v>5.8</v>
      </c>
      <c r="E5" s="6">
        <f t="shared" ref="E5:E6" si="0">C5*C$2+D5*D$2</f>
        <v>5.5000000000000009</v>
      </c>
      <c r="G5" s="1"/>
    </row>
    <row r="6" spans="1:11" x14ac:dyDescent="0.25">
      <c r="A6" s="4">
        <v>3</v>
      </c>
      <c r="B6" s="27" t="s">
        <v>78</v>
      </c>
      <c r="C6" s="5">
        <f>EVALUACION1!$C$21</f>
        <v>5.4</v>
      </c>
      <c r="D6" s="5">
        <f>C55</f>
        <v>5.8</v>
      </c>
      <c r="E6" s="6">
        <f t="shared" si="0"/>
        <v>5.5000000000000009</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79</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79</v>
      </c>
      <c r="G14" s="16">
        <f>IF(F14="X",60*0.2,"")</f>
        <v>12</v>
      </c>
      <c r="H14" s="16" t="str">
        <f t="shared" si="1"/>
        <v/>
      </c>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79</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79</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4"/>
        <v/>
      </c>
    </row>
    <row r="20" spans="1:11" ht="15.75" customHeight="1" outlineLevel="1" x14ac:dyDescent="0.3">
      <c r="A20" s="67"/>
      <c r="B20" s="29" t="s">
        <v>66</v>
      </c>
      <c r="C20" s="33">
        <f>E20+G20+I20+K20</f>
        <v>59</v>
      </c>
      <c r="D20" s="19"/>
      <c r="E20" s="19">
        <f>SUM(E13:E19)</f>
        <v>35</v>
      </c>
      <c r="F20" s="19"/>
      <c r="G20" s="19">
        <f>SUM(G13:G19)</f>
        <v>24</v>
      </c>
      <c r="H20" s="19"/>
      <c r="I20" s="19">
        <f>SUM(I13:I19)</f>
        <v>0</v>
      </c>
      <c r="J20" s="19"/>
      <c r="K20" s="19">
        <f>SUM(K13:K19)</f>
        <v>0</v>
      </c>
    </row>
    <row r="21" spans="1:11" ht="15.75" customHeight="1" outlineLevel="1" x14ac:dyDescent="0.3">
      <c r="A21" s="54"/>
      <c r="B21" s="32" t="s">
        <v>67</v>
      </c>
      <c r="C21" s="20">
        <f>VLOOKUP(C20,ESCALA_IEP!A1:B152,2,FALSE)</f>
        <v>5.4</v>
      </c>
    </row>
    <row r="22" spans="1:11" ht="15.75" customHeight="1" x14ac:dyDescent="0.25"/>
    <row r="23" spans="1:11" ht="15.75" customHeight="1" x14ac:dyDescent="0.25"/>
    <row r="24" spans="1:11" ht="15.75" customHeight="1" x14ac:dyDescent="0.25">
      <c r="A24" s="66" t="s">
        <v>59</v>
      </c>
      <c r="B24" s="53" t="s">
        <v>68</v>
      </c>
      <c r="C24" s="55" t="str">
        <f>$B$4</f>
        <v>Carlos Rojas</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79</v>
      </c>
      <c r="G29" s="16">
        <f>IF(F29="X",60*0.1,"")</f>
        <v>6</v>
      </c>
      <c r="H29" s="16" t="str">
        <f t="shared" si="7"/>
        <v/>
      </c>
      <c r="I29" s="16" t="str">
        <f>IF(H29="X",30*0.1,"")</f>
        <v/>
      </c>
      <c r="J29" s="16" t="str">
        <f t="shared" si="8"/>
        <v/>
      </c>
      <c r="K29" s="16" t="str">
        <f t="shared" si="9"/>
        <v/>
      </c>
    </row>
    <row r="30" spans="1:11" ht="25.9" customHeight="1" x14ac:dyDescent="0.25">
      <c r="A30" s="67"/>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Nicolas Ortega</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79</v>
      </c>
      <c r="G41" s="16">
        <f>IF(F41="X",60*0.1,"")</f>
        <v>6</v>
      </c>
      <c r="H41" s="16" t="str">
        <f t="shared" si="12"/>
        <v/>
      </c>
      <c r="I41" s="16" t="str">
        <f>IF(H41="X",30*0.1,"")</f>
        <v/>
      </c>
      <c r="J41" s="16" t="str">
        <f t="shared" si="13"/>
        <v/>
      </c>
      <c r="K41" s="16" t="str">
        <f t="shared" si="14"/>
        <v/>
      </c>
    </row>
    <row r="42" spans="1:11" x14ac:dyDescent="0.25">
      <c r="A42" s="67"/>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Jenifer Celedon</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
        <v>79</v>
      </c>
      <c r="G52" s="16">
        <f>IF(F52="X",60*0.1,"")</f>
        <v>6</v>
      </c>
      <c r="H52" s="16" t="str">
        <f t="shared" si="17"/>
        <v/>
      </c>
      <c r="I52" s="16" t="str">
        <f>IF(H52="X",30*0.1,"")</f>
        <v/>
      </c>
      <c r="J52" s="16" t="str">
        <f t="shared" si="18"/>
        <v/>
      </c>
      <c r="K52" s="16" t="str">
        <f t="shared" si="19"/>
        <v/>
      </c>
    </row>
    <row r="53" spans="1:11" x14ac:dyDescent="0.25">
      <c r="A53" s="67"/>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x14ac:dyDescent="0.3">
      <c r="A54" s="67"/>
      <c r="B54" s="21" t="s">
        <v>70</v>
      </c>
      <c r="C54" s="18">
        <f>E54+G54+I54+K54</f>
        <v>21</v>
      </c>
      <c r="D54" s="19"/>
      <c r="E54" s="19">
        <f>SUM(E51:E53)</f>
        <v>15</v>
      </c>
      <c r="F54" s="19"/>
      <c r="G54" s="19">
        <f>SUM(G51:G53)</f>
        <v>6</v>
      </c>
      <c r="H54" s="19"/>
      <c r="I54" s="19">
        <f>SUM(I51:I53)</f>
        <v>0</v>
      </c>
      <c r="J54" s="19"/>
      <c r="K54" s="19">
        <f>SUM(K52:K53)</f>
        <v>0</v>
      </c>
    </row>
    <row r="55" spans="1:11" ht="15.75" customHeight="1" x14ac:dyDescent="0.3">
      <c r="A55" s="54"/>
      <c r="B55" s="17" t="s">
        <v>67</v>
      </c>
      <c r="C55" s="20">
        <f>VLOOKUP(C54,ESCALA_TRAB_EQUIP!A1:B52,2,FALSE)</f>
        <v>5.8</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2025-11-26T22:18:23Z</dcterms:modified>
  <cp:category/>
  <cp:contentStatus/>
</cp:coreProperties>
</file>